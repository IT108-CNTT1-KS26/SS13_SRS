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97b702e8204a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-muc-linh-kien" sheetId="1" r:id="Rbfc33e120184405c"/>
    <x:sheet xmlns:r="http://schemas.openxmlformats.org/officeDocument/2006/relationships" name="trang-thai-tram" sheetId="2" r:id="R32f8239260a34a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D&quot;"/>
    <x:numFmt numFmtId="201" formatCode="yyyy-mm-dd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4A3A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772d215014553" /><Relationship Type="http://schemas.openxmlformats.org/officeDocument/2006/relationships/theme" Target="/xl/theme/theme1.xml" Id="R9e6a88981c3d47f1" /><Relationship Type="http://schemas.openxmlformats.org/officeDocument/2006/relationships/sharedStrings" Target="/xl/sharedStrings.xml" Id="R25a2f8d299f045ff" /><Relationship Type="http://schemas.openxmlformats.org/officeDocument/2006/relationships/worksheet" Target="/xl/worksheets/sheet1.xml" Id="Rbfc33e120184405c" /><Relationship Type="http://schemas.openxmlformats.org/officeDocument/2006/relationships/worksheet" Target="/xl/worksheets/sheet2.xml" Id="R32f8239260a34ab6" /></Relationships>
</file>

<file path=xl/tables/table1.xml><?xml version="1.0" encoding="utf-8"?>
<x:table xmlns:x="http://schemas.openxmlformats.org/spreadsheetml/2006/main" id="1" name="DanhMucLinhKienTable" displayName="DanhMucLinhKienTable" ref="A1:D8" headerRowCount="1" totalsRowCount="0" totalsRowShown="0">
  <x:tableColumns count="4">
    <x:tableColumn id="1" name="ma_linh_kien"/>
    <x:tableColumn id="2" name="ten_thiet_bi"/>
    <x:tableColumn id="3" name="don_gia"/>
    <x:tableColumn id="4" name="loai_sto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rangThaiTramTable" displayName="TrangThaiTramTable" ref="A1:I9" headerRowCount="1" totalsRowCount="0" totalsRowShown="0">
  <x:tableColumns count="9">
    <x:tableColumn id="1" name="ma_tram"/>
    <x:tableColumn id="2" name="ma_linh_kien"/>
    <x:tableColumn id="3" name="dung_luong_ram"/>
    <x:tableColumn id="4" name="ngay_lap_dat"/>
    <x:tableColumn id="5" name="ma_linh_kien_chuan"/>
    <x:tableColumn id="6" name="ten_thiet_bi"/>
    <x:tableColumn id="7" name="don_gia"/>
    <x:tableColumn id="8" name="loai_storage"/>
    <x:tableColumn id="9" name="trang_thai_doi_so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89a232611942b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6642a2ca8514387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9.880000114440918" hidden="0" customWidth="1"/>
  </x:cols>
  <x:sheetData>
    <x:row r="1" ht="30" customHeight="1">
      <x:c r="A1" s="6" t="str">
        <x:v>ma_linh_kien</x:v>
      </x:c>
      <x:c r="B1" s="6" t="str">
        <x:v>ten_thiet_bi</x:v>
      </x:c>
      <x:c r="C1" s="6" t="str">
        <x:v>don_gia</x:v>
      </x:c>
      <x:c r="D1" s="6" t="str">
        <x:v>loai_storage</x:v>
      </x:c>
    </x:row>
    <x:row r="2">
      <x:c r="A2" s="16" t="str">
        <x:v>LK-SSD-001</x:v>
      </x:c>
      <x:c r="B2" s="16" t="str">
        <x:v>SSD Kingston 512GB</x:v>
      </x:c>
      <x:c r="C2" s="17" t="n">
        <x:v>1250000</x:v>
      </x:c>
      <x:c r="D2" s="16" t="str">
        <x:v>SSD</x:v>
      </x:c>
    </x:row>
    <x:row r="3">
      <x:c r="A3" s="16" t="str">
        <x:v>LK-SSD-002</x:v>
      </x:c>
      <x:c r="B3" s="16" t="str">
        <x:v>SSD Samsung 1TB</x:v>
      </x:c>
      <x:c r="C3" s="17" t="n">
        <x:v>2350000</x:v>
      </x:c>
      <x:c r="D3" s="16" t="str">
        <x:v>SSD</x:v>
      </x:c>
    </x:row>
    <x:row r="4">
      <x:c r="A4" s="16" t="str">
        <x:v>LK-HDD-001</x:v>
      </x:c>
      <x:c r="B4" s="16" t="str">
        <x:v>HDD Seagate 2TB</x:v>
      </x:c>
      <x:c r="C4" s="17" t="n">
        <x:v>1650000</x:v>
      </x:c>
      <x:c r="D4" s="16" t="str">
        <x:v>HDD</x:v>
      </x:c>
    </x:row>
    <x:row r="5">
      <x:c r="A5" s="16" t="str">
        <x:v>LK-RAM-001</x:v>
      </x:c>
      <x:c r="B5" s="16" t="str">
        <x:v>RAM DDR4 8GB</x:v>
      </x:c>
      <x:c r="C5" s="17" t="n">
        <x:v>520000</x:v>
      </x:c>
      <x:c r="D5" s="16" t="str">
        <x:v>RAM</x:v>
      </x:c>
    </x:row>
    <x:row r="6">
      <x:c r="A6" s="16" t="str">
        <x:v>LK-RAM-002</x:v>
      </x:c>
      <x:c r="B6" s="16" t="str">
        <x:v>RAM DDR4 16GB</x:v>
      </x:c>
      <x:c r="C6" s="17" t="n">
        <x:v>890000</x:v>
      </x:c>
      <x:c r="D6" s="16" t="str">
        <x:v>RAM</x:v>
      </x:c>
    </x:row>
    <x:row r="7">
      <x:c r="A7" s="16" t="str">
        <x:v>LK-NIC-001</x:v>
      </x:c>
      <x:c r="B7" s="16" t="str">
        <x:v>Card mạng Gigabit</x:v>
      </x:c>
      <x:c r="C7" s="17" t="n">
        <x:v>390000</x:v>
      </x:c>
      <x:c r="D7" s="16" t="str">
        <x:v>NETWORK</x:v>
      </x:c>
    </x:row>
    <x:row r="8">
      <x:c r="A8" s="16" t="str">
        <x:v>LK-SSD-003</x:v>
      </x:c>
      <x:c r="B8" s="16" t="str">
        <x:v>SSD NVMe 1TB</x:v>
      </x:c>
      <x:c r="C8" s="17" t="n">
        <x:v>2850000</x:v>
      </x:c>
      <x:c r="D8" s="16" t="str">
        <x:v>SSD</x:v>
      </x:c>
    </x:row>
  </x:sheetData>
  <x:pageMargins left="0.7" right="0.7" top="0.75" bottom="0.75" header="0.3" footer="0.3"/>
  <x:tableParts count="1">
    <x:tablePart xmlns:r="http://schemas.openxmlformats.org/officeDocument/2006/relationships" r:id="R2189a232611942b6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22" hidden="0" customWidth="1"/>
    <x:col min="6" max="6" width="26" hidden="0" customWidth="1"/>
    <x:col min="7" max="7" width="18" hidden="0" customWidth="1"/>
    <x:col min="8" max="8" width="16" hidden="0" customWidth="1"/>
    <x:col min="9" max="9" width="22" hidden="0" customWidth="1"/>
  </x:cols>
  <x:sheetData>
    <x:row r="1" ht="30" customHeight="1">
      <x:c r="A1" s="6" t="str">
        <x:v>ma_tram</x:v>
      </x:c>
      <x:c r="B1" s="6" t="str">
        <x:v>ma_linh_kien</x:v>
      </x:c>
      <x:c r="C1" s="6" t="str">
        <x:v>dung_luong_ram</x:v>
      </x:c>
      <x:c r="D1" s="6" t="str">
        <x:v>ngay_lap_dat</x:v>
      </x:c>
      <x:c r="E1" s="6" t="str">
        <x:v>ma_linh_kien_chuan</x:v>
      </x:c>
      <x:c r="F1" s="6" t="str">
        <x:v>ten_thiet_bi</x:v>
      </x:c>
      <x:c r="G1" s="6" t="str">
        <x:v>don_gia</x:v>
      </x:c>
      <x:c r="H1" s="6" t="str">
        <x:v>loai_storage</x:v>
      </x:c>
      <x:c r="I1" s="6" t="str">
        <x:v>trang_thai_doi_soat</x:v>
      </x:c>
    </x:row>
    <x:row r="2">
      <x:c r="A2" s="16" t="str">
        <x:v>tram-01</x:v>
      </x:c>
      <x:c r="B2" s="16" t="str">
        <x:v>LK-SSD-001</x:v>
      </x:c>
      <x:c r="C2" s="16" t="str">
        <x:v>8GB</x:v>
      </x:c>
      <x:c r="D2" s="20" t="n">
        <x:v>46032</x:v>
      </x:c>
      <x:c r="E2" s="16" t="str">
        <x:f>TRIM(B2)</x:f>
        <x:v>LK-SSD-001</x:v>
      </x:c>
      <x:c r="F2" s="16" t="str">
        <x:f>IFERROR(VLOOKUP(TRIM(B2),'danh-muc-linh-kien'!$A$2:$D$8,2,FALSE),"KIEM TRA MA")</x:f>
        <x:v>SSD Kingston 512GB</x:v>
      </x:c>
      <x:c r="G2" s="17" t="n">
        <x:f>IFERROR(VLOOKUP(TRIM(B2),'danh-muc-linh-kien'!$A$2:$D$8,3,FALSE),"")</x:f>
        <x:v>1250000</x:v>
      </x:c>
      <x:c r="H2" s="16" t="str">
        <x:f>IFERROR(VLOOKUP(TRIM(B2),'danh-muc-linh-kien'!$A$2:$D$8,4,FALSE),"")</x:f>
        <x:v>SSD</x:v>
      </x:c>
      <x:c r="I2" s="16" t="str">
        <x:f>IF(COUNTIF('danh-muc-linh-kien'!$A$2:$A$8,TRIM(B2))&gt;0,"HOP LE","KIEM TRA MA")</x:f>
        <x:v>HOP LE</x:v>
      </x:c>
    </x:row>
    <x:row r="3">
      <x:c r="A3" s="16" t="str">
        <x:v>tram-02</x:v>
      </x:c>
      <x:c r="B3" s="16" t="str">
        <x:v> LK-SSD-002 </x:v>
      </x:c>
      <x:c r="C3" s="16" t="str">
        <x:v>16GB</x:v>
      </x:c>
      <x:c r="D3" s="20" t="n">
        <x:v>46034</x:v>
      </x:c>
      <x:c r="E3" s="16" t="str">
        <x:f>TRIM(B3)</x:f>
        <x:v>LK-SSD-002</x:v>
      </x:c>
      <x:c r="F3" s="16" t="str">
        <x:f>IFERROR(VLOOKUP(TRIM(B3),'danh-muc-linh-kien'!$A$2:$D$8,2,FALSE),"KIEM TRA MA")</x:f>
        <x:v>SSD Samsung 1TB</x:v>
      </x:c>
      <x:c r="G3" s="17" t="n">
        <x:f>IFERROR(VLOOKUP(TRIM(B3),'danh-muc-linh-kien'!$A$2:$D$8,3,FALSE),"")</x:f>
        <x:v>2350000</x:v>
      </x:c>
      <x:c r="H3" s="16" t="str">
        <x:f>IFERROR(VLOOKUP(TRIM(B3),'danh-muc-linh-kien'!$A$2:$D$8,4,FALSE),"")</x:f>
        <x:v>SSD</x:v>
      </x:c>
      <x:c r="I3" s="16" t="str">
        <x:f>IF(COUNTIF('danh-muc-linh-kien'!$A$2:$A$8,TRIM(B3))&gt;0,"HOP LE","KIEM TRA MA")</x:f>
        <x:v>HOP LE</x:v>
      </x:c>
    </x:row>
    <x:row r="4">
      <x:c r="A4" s="16" t="str">
        <x:v>tram-03</x:v>
      </x:c>
      <x:c r="B4" s="16" t="str">
        <x:v>LK-HDD-001 </x:v>
      </x:c>
      <x:c r="C4" s="16" t="str">
        <x:v>8GB</x:v>
      </x:c>
      <x:c r="D4" s="20" t="n">
        <x:v>46037</x:v>
      </x:c>
      <x:c r="E4" s="16" t="str">
        <x:f>TRIM(B4)</x:f>
        <x:v>LK-HDD-001</x:v>
      </x:c>
      <x:c r="F4" s="16" t="str">
        <x:f>IFERROR(VLOOKUP(TRIM(B4),'danh-muc-linh-kien'!$A$2:$D$8,2,FALSE),"KIEM TRA MA")</x:f>
        <x:v>HDD Seagate 2TB</x:v>
      </x:c>
      <x:c r="G4" s="17" t="n">
        <x:f>IFERROR(VLOOKUP(TRIM(B4),'danh-muc-linh-kien'!$A$2:$D$8,3,FALSE),"")</x:f>
        <x:v>1650000</x:v>
      </x:c>
      <x:c r="H4" s="16" t="str">
        <x:f>IFERROR(VLOOKUP(TRIM(B4),'danh-muc-linh-kien'!$A$2:$D$8,4,FALSE),"")</x:f>
        <x:v>HDD</x:v>
      </x:c>
      <x:c r="I4" s="16" t="str">
        <x:f>IF(COUNTIF('danh-muc-linh-kien'!$A$2:$A$8,TRIM(B4))&gt;0,"HOP LE","KIEM TRA MA")</x:f>
        <x:v>HOP LE</x:v>
      </x:c>
    </x:row>
    <x:row r="5">
      <x:c r="A5" s="16" t="str">
        <x:v>tram-04</x:v>
      </x:c>
      <x:c r="B5" s="16" t="str">
        <x:v>LK-RAM-001</x:v>
      </x:c>
      <x:c r="C5" s="16" t="str">
        <x:v>16GB</x:v>
      </x:c>
      <x:c r="D5" s="20" t="n">
        <x:v>46054</x:v>
      </x:c>
      <x:c r="E5" s="16" t="str">
        <x:f>TRIM(B5)</x:f>
        <x:v>LK-RAM-001</x:v>
      </x:c>
      <x:c r="F5" s="16" t="str">
        <x:f>IFERROR(VLOOKUP(TRIM(B5),'danh-muc-linh-kien'!$A$2:$D$8,2,FALSE),"KIEM TRA MA")</x:f>
        <x:v>RAM DDR4 8GB</x:v>
      </x:c>
      <x:c r="G5" s="17" t="n">
        <x:f>IFERROR(VLOOKUP(TRIM(B5),'danh-muc-linh-kien'!$A$2:$D$8,3,FALSE),"")</x:f>
        <x:v>520000</x:v>
      </x:c>
      <x:c r="H5" s="16" t="str">
        <x:f>IFERROR(VLOOKUP(TRIM(B5),'danh-muc-linh-kien'!$A$2:$D$8,4,FALSE),"")</x:f>
        <x:v>RAM</x:v>
      </x:c>
      <x:c r="I5" s="16" t="str">
        <x:f>IF(COUNTIF('danh-muc-linh-kien'!$A$2:$A$8,TRIM(B5))&gt;0,"HOP LE","KIEM TRA MA")</x:f>
        <x:v>HOP LE</x:v>
      </x:c>
    </x:row>
    <x:row r="6">
      <x:c r="A6" s="16" t="str">
        <x:v>tram-05</x:v>
      </x:c>
      <x:c r="B6" s="16" t="str">
        <x:v>LK-RAM-002 </x:v>
      </x:c>
      <x:c r="C6" s="16" t="str">
        <x:v>32GB</x:v>
      </x:c>
      <x:c r="D6" s="20" t="n">
        <x:v>46058</x:v>
      </x:c>
      <x:c r="E6" s="16" t="str">
        <x:f>TRIM(B6)</x:f>
        <x:v>LK-RAM-002</x:v>
      </x:c>
      <x:c r="F6" s="16" t="str">
        <x:f>IFERROR(VLOOKUP(TRIM(B6),'danh-muc-linh-kien'!$A$2:$D$8,2,FALSE),"KIEM TRA MA")</x:f>
        <x:v>RAM DDR4 16GB</x:v>
      </x:c>
      <x:c r="G6" s="17" t="n">
        <x:f>IFERROR(VLOOKUP(TRIM(B6),'danh-muc-linh-kien'!$A$2:$D$8,3,FALSE),"")</x:f>
        <x:v>890000</x:v>
      </x:c>
      <x:c r="H6" s="16" t="str">
        <x:f>IFERROR(VLOOKUP(TRIM(B6),'danh-muc-linh-kien'!$A$2:$D$8,4,FALSE),"")</x:f>
        <x:v>RAM</x:v>
      </x:c>
      <x:c r="I6" s="16" t="str">
        <x:f>IF(COUNTIF('danh-muc-linh-kien'!$A$2:$A$8,TRIM(B6))&gt;0,"HOP LE","KIEM TRA MA")</x:f>
        <x:v>HOP LE</x:v>
      </x:c>
    </x:row>
    <x:row r="7">
      <x:c r="A7" s="16" t="str">
        <x:v>tram-06</x:v>
      </x:c>
      <x:c r="B7" s="16" t="str">
        <x:v>LK-NIC-001</x:v>
      </x:c>
      <x:c r="C7" s="16" t="str">
        <x:v>8GB</x:v>
      </x:c>
      <x:c r="D7" s="20" t="n">
        <x:v>46061</x:v>
      </x:c>
      <x:c r="E7" s="16" t="str">
        <x:f>TRIM(B7)</x:f>
        <x:v>LK-NIC-001</x:v>
      </x:c>
      <x:c r="F7" s="16" t="str">
        <x:f>IFERROR(VLOOKUP(TRIM(B7),'danh-muc-linh-kien'!$A$2:$D$8,2,FALSE),"KIEM TRA MA")</x:f>
        <x:v>Card mạng Gigabit</x:v>
      </x:c>
      <x:c r="G7" s="17" t="n">
        <x:f>IFERROR(VLOOKUP(TRIM(B7),'danh-muc-linh-kien'!$A$2:$D$8,3,FALSE),"")</x:f>
        <x:v>390000</x:v>
      </x:c>
      <x:c r="H7" s="16" t="str">
        <x:f>IFERROR(VLOOKUP(TRIM(B7),'danh-muc-linh-kien'!$A$2:$D$8,4,FALSE),"")</x:f>
        <x:v>NETWORK</x:v>
      </x:c>
      <x:c r="I7" s="16" t="str">
        <x:f>IF(COUNTIF('danh-muc-linh-kien'!$A$2:$A$8,TRIM(B7))&gt;0,"HOP LE","KIEM TRA MA")</x:f>
        <x:v>HOP LE</x:v>
      </x:c>
    </x:row>
    <x:row r="8">
      <x:c r="A8" s="16" t="str">
        <x:v>tram-07</x:v>
      </x:c>
      <x:c r="B8" s="16" t="str">
        <x:v>LK-SSD-003</x:v>
      </x:c>
      <x:c r="C8" s="16" t="str">
        <x:v>16GB</x:v>
      </x:c>
      <x:c r="D8" s="20" t="n">
        <x:v>46063</x:v>
      </x:c>
      <x:c r="E8" s="16" t="str">
        <x:f>TRIM(B8)</x:f>
        <x:v>LK-SSD-003</x:v>
      </x:c>
      <x:c r="F8" s="16" t="str">
        <x:f>IFERROR(VLOOKUP(TRIM(B8),'danh-muc-linh-kien'!$A$2:$D$8,2,FALSE),"KIEM TRA MA")</x:f>
        <x:v>SSD NVMe 1TB</x:v>
      </x:c>
      <x:c r="G8" s="17" t="n">
        <x:f>IFERROR(VLOOKUP(TRIM(B8),'danh-muc-linh-kien'!$A$2:$D$8,3,FALSE),"")</x:f>
        <x:v>2850000</x:v>
      </x:c>
      <x:c r="H8" s="16" t="str">
        <x:f>IFERROR(VLOOKUP(TRIM(B8),'danh-muc-linh-kien'!$A$2:$D$8,4,FALSE),"")</x:f>
        <x:v>SSD</x:v>
      </x:c>
      <x:c r="I8" s="16" t="str">
        <x:f>IF(COUNTIF('danh-muc-linh-kien'!$A$2:$A$8,TRIM(B8))&gt;0,"HOP LE","KIEM TRA MA")</x:f>
        <x:v>HOP LE</x:v>
      </x:c>
    </x:row>
    <x:row r="9">
      <x:c r="A9" s="16" t="str">
        <x:v>tram-08</x:v>
      </x:c>
      <x:c r="B9" s="16" t="str">
        <x:v>LK-SSD-404</x:v>
      </x:c>
      <x:c r="C9" s="16" t="str">
        <x:v>8GB</x:v>
      </x:c>
      <x:c r="D9" s="20" t="n">
        <x:v>46065</x:v>
      </x:c>
      <x:c r="E9" s="16" t="str">
        <x:f>TRIM(B9)</x:f>
        <x:v>LK-SSD-404</x:v>
      </x:c>
      <x:c r="F9" s="16" t="str">
        <x:f>IFERROR(VLOOKUP(TRIM(B9),'danh-muc-linh-kien'!$A$2:$D$8,2,FALSE),"KIEM TRA MA")</x:f>
        <x:v>KIEM TRA MA</x:v>
      </x:c>
      <x:c r="G9" s="17" t="str">
        <x:f>IFERROR(VLOOKUP(TRIM(B9),'danh-muc-linh-kien'!$A$2:$D$8,3,FALSE),"")</x:f>
      </x:c>
      <x:c r="H9" s="16" t="str">
        <x:f>IFERROR(VLOOKUP(TRIM(B9),'danh-muc-linh-kien'!$A$2:$D$8,4,FALSE),"")</x:f>
      </x:c>
      <x:c r="I9" s="16" t="str">
        <x:f>IF(COUNTIF('danh-muc-linh-kien'!$A$2:$A$8,TRIM(B9))&gt;0,"HOP LE","KIEM TRA MA")</x:f>
        <x:v>KIEM TRA MA</x:v>
      </x:c>
    </x:row>
  </x:sheetData>
  <x:conditionalFormatting sqref="I2:I9">
    <x:cfRule type="expression" dxfId="0" priority="1">
      <x:formula>I2="KIEM TRA MA"</x:formula>
    </x:cfRule>
    <x:cfRule type="expression" dxfId="1" priority="2">
      <x:formula>I2="HOP LE"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6642a2ca8514387"/>
  </x:tableParts>
</x:worksheet>
</file>